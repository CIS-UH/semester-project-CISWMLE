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uff from D Drive\College Crap\Fall 2025\"/>
    </mc:Choice>
  </mc:AlternateContent>
  <xr:revisionPtr revIDLastSave="0" documentId="13_ncr:1_{1B42926E-0890-423D-B2A5-91CF84714021}" xr6:coauthVersionLast="47" xr6:coauthVersionMax="47" xr10:uidLastSave="{00000000-0000-0000-0000-000000000000}"/>
  <bookViews>
    <workbookView xWindow="-120" yWindow="-120" windowWidth="38640" windowHeight="21120" activeTab="2" xr2:uid="{FBC1D086-CDB1-4C4E-A8BD-698DF734EC27}"/>
  </bookViews>
  <sheets>
    <sheet name="Roles and Responsibilities" sheetId="1" r:id="rId1"/>
    <sheet name="Resources and Costs Plan" sheetId="2" r:id="rId2"/>
    <sheet name="RACI Mat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3" i="1"/>
  <c r="G6" i="2"/>
  <c r="E9" i="1"/>
  <c r="G9" i="1"/>
  <c r="G4" i="1"/>
  <c r="G5" i="1"/>
  <c r="G6" i="1"/>
  <c r="G7" i="1"/>
  <c r="G8" i="1"/>
</calcChain>
</file>

<file path=xl/sharedStrings.xml><?xml version="1.0" encoding="utf-8"?>
<sst xmlns="http://schemas.openxmlformats.org/spreadsheetml/2006/main" count="123" uniqueCount="58">
  <si>
    <t xml:space="preserve">      </t>
  </si>
  <si>
    <t>Name</t>
  </si>
  <si>
    <t>Role</t>
  </si>
  <si>
    <t>Allocation</t>
  </si>
  <si>
    <t>Estimated Hours</t>
  </si>
  <si>
    <t>Hourly Rate</t>
  </si>
  <si>
    <t>Cost</t>
  </si>
  <si>
    <t>Item</t>
  </si>
  <si>
    <t>Category</t>
  </si>
  <si>
    <t>Unit Cost</t>
  </si>
  <si>
    <t>Total</t>
  </si>
  <si>
    <t>Notes</t>
  </si>
  <si>
    <t>Task/Role</t>
  </si>
  <si>
    <t>Tester</t>
  </si>
  <si>
    <t>Project Manager</t>
  </si>
  <si>
    <t>Frontend Developer</t>
  </si>
  <si>
    <t>Backend Developer</t>
  </si>
  <si>
    <t>UI/UX Designer</t>
  </si>
  <si>
    <t>Bob</t>
  </si>
  <si>
    <t>Jane</t>
  </si>
  <si>
    <t>Jonathon</t>
  </si>
  <si>
    <t>Ashley</t>
  </si>
  <si>
    <t>Andrew</t>
  </si>
  <si>
    <t>Developer Labor</t>
  </si>
  <si>
    <t>Labor</t>
  </si>
  <si>
    <t>Cloud hosting</t>
  </si>
  <si>
    <t>Licenses</t>
  </si>
  <si>
    <t>Contingency</t>
  </si>
  <si>
    <t>Kyle</t>
  </si>
  <si>
    <t>Security Specialist</t>
  </si>
  <si>
    <t>600 Hours</t>
  </si>
  <si>
    <t>Infrastructure</t>
  </si>
  <si>
    <t>Tools</t>
  </si>
  <si>
    <t>Reserve</t>
  </si>
  <si>
    <t>One-Time</t>
  </si>
  <si>
    <t>applied to total</t>
  </si>
  <si>
    <t>$200/Month</t>
  </si>
  <si>
    <t>$40/30 per hour</t>
  </si>
  <si>
    <t>Duration (Months)</t>
  </si>
  <si>
    <t>Continuous/Monthly</t>
  </si>
  <si>
    <t>N/A</t>
  </si>
  <si>
    <t>Dev Tools/APIs</t>
  </si>
  <si>
    <t>Small size</t>
  </si>
  <si>
    <t>Frontend Visuals</t>
  </si>
  <si>
    <t>Display Stocks and Analytics</t>
  </si>
  <si>
    <t>Backend Info Handling</t>
  </si>
  <si>
    <t>Ability to Purchase/Sell</t>
  </si>
  <si>
    <t>Bank Integration</t>
  </si>
  <si>
    <t>Backend Security</t>
  </si>
  <si>
    <t>Transaction Security</t>
  </si>
  <si>
    <t>Data Handling Security</t>
  </si>
  <si>
    <t>Method Brainstorming</t>
  </si>
  <si>
    <t>Method Implementation</t>
  </si>
  <si>
    <t>R</t>
  </si>
  <si>
    <t>I</t>
  </si>
  <si>
    <t>A</t>
  </si>
  <si>
    <t>C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</si>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</sst>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&quot;$&quot;#,##0.00"/>
    </dxf>
    <dxf>
      <numFmt numFmtId="164" formatCode="&quot;$&quot;#,##0.00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FC2F1-6AB7-4BAB-82F9-34E68A7907AA}" name="Table1" displayName="Table1" ref="B2:G9" totalsRowShown="0">
  <autoFilter ref="B2:G9" xr:uid="{22BFC2F1-6AB7-4BAB-82F9-34E68A7907AA}"/>
  <tableColumns count="6">
    <tableColumn id="1" xr3:uid="{400D87CA-A730-447F-9F55-1F92796F530E}" name="Name"/>
    <tableColumn id="2" xr3:uid="{FCC84C45-6D49-4788-A7A8-C2ED646ADF3D}" name="Role"/>
    <tableColumn id="3" xr3:uid="{C7C0EC69-EDF1-4E55-9FDA-D49AE0B1F0AB}" name="Allocation" dataDxfId="2"/>
    <tableColumn id="4" xr3:uid="{2F4F1ED5-B25C-4343-977D-DEA03AA78BEC}" name="Estimated Hours"/>
    <tableColumn id="5" xr3:uid="{BF13E5DA-A41F-474B-8928-3FB54CB81FCD}" name="Hourly Rate"/>
    <tableColumn id="6" xr3:uid="{6F99977C-B825-4999-9F0B-34184AD73627}" name="Cos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E8F739-8E81-4EC9-9B22-C68AC32EF723}" name="Table2" displayName="Table2" ref="B2:H7" totalsRowShown="0">
  <autoFilter ref="B2:H7" xr:uid="{8DE8F739-8E81-4EC9-9B22-C68AC32EF723}"/>
  <tableColumns count="7">
    <tableColumn id="1" xr3:uid="{10722485-8EA6-4070-85C9-A4D35863AF41}" name="Item"/>
    <tableColumn id="2" xr3:uid="{7B956A8F-47B3-4E74-AE91-F7AADA2F4F86}" name="Category"/>
    <tableColumn id="3" xr3:uid="{61A2D9BB-2EF7-402F-BFC0-F13088558912}" name="Quantity"/>
    <tableColumn id="4" xr3:uid="{80D1AF9F-A82A-46D5-ADEB-23AFB573BB0D}" name="Unit Cost"/>
    <tableColumn id="5" xr3:uid="{82F5721C-14CB-4A6F-BEAA-982DA93F7B63}" name="Duration (Months)"/>
    <tableColumn id="6" xr3:uid="{B1E9400F-148C-4783-B4D7-809B98211E9F}" name="Total" dataDxfId="0"/>
    <tableColumn id="7" xr3:uid="{24DE1E8D-CAEA-4E82-A9F2-3BB9C42BECAA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0736D-D7CF-4E2F-8522-D5AE98B8E16B}" name="Table4" displayName="Table4" ref="B2:H12" totalsRowShown="0">
  <autoFilter ref="B2:H12" xr:uid="{6430736D-D7CF-4E2F-8522-D5AE98B8E16B}"/>
  <tableColumns count="7">
    <tableColumn id="1" xr3:uid="{6E727B56-8DF9-487D-8833-8227F485BA3E}" name="Task/Role"/>
    <tableColumn id="2" xr3:uid="{5251B60A-8F9A-4AED-8AFC-3A7CC084B81E}" name="Project Manager"/>
    <tableColumn id="3" xr3:uid="{3860AA8F-F875-4B10-A432-42ADB3B41828}" name="Frontend Developer"/>
    <tableColumn id="4" xr3:uid="{BF9CF3FF-70D2-42BC-94A1-C0BAAE258C29}" name="Backend Developer"/>
    <tableColumn id="5" xr3:uid="{717A63CE-D9CF-42F7-8B37-3E86C05EF9C7}" name="UI/UX Designer"/>
    <tableColumn id="6" xr3:uid="{2E084463-DFA9-4966-8F5F-9C89477497E7}" name="Tester"/>
    <tableColumn id="7" xr3:uid="{1877E3F2-C4D1-42C9-9F71-14DF882D82D5}" name="Security Specia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0CD5-1493-4FA0-8743-EF56AD76C2C1}">
  <dimension ref="A1:G9"/>
  <sheetViews>
    <sheetView workbookViewId="0">
      <selection activeCell="G48" sqref="G48"/>
    </sheetView>
  </sheetViews>
  <sheetFormatPr defaultRowHeight="15" x14ac:dyDescent="0.25"/>
  <cols>
    <col min="3" max="3" width="20.140625" customWidth="1"/>
    <col min="4" max="4" width="12.140625" customWidth="1"/>
    <col min="5" max="5" width="18.140625" customWidth="1"/>
    <col min="6" max="6" width="13.7109375" customWidth="1"/>
    <col min="7" max="7" width="10.140625" bestFit="1" customWidth="1"/>
  </cols>
  <sheetData>
    <row r="1" spans="1:7" x14ac:dyDescent="0.25">
      <c r="A1" t="s">
        <v>0</v>
      </c>
    </row>
    <row r="2" spans="1:7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B3" t="s">
        <v>18</v>
      </c>
      <c r="C3" t="s">
        <v>14</v>
      </c>
      <c r="D3" s="1">
        <v>0.15</v>
      </c>
      <c r="E3">
        <v>90</v>
      </c>
      <c r="F3" s="3">
        <v>40</v>
      </c>
      <c r="G3" s="3">
        <f>E3*F3</f>
        <v>3600</v>
      </c>
    </row>
    <row r="4" spans="1:7" x14ac:dyDescent="0.25">
      <c r="B4" t="s">
        <v>19</v>
      </c>
      <c r="C4" t="s">
        <v>15</v>
      </c>
      <c r="D4" s="1">
        <v>0.3</v>
      </c>
      <c r="E4">
        <v>180</v>
      </c>
      <c r="F4" s="3">
        <v>40</v>
      </c>
      <c r="G4" s="3">
        <f t="shared" ref="G4:G8" si="0">E4*F4</f>
        <v>7200</v>
      </c>
    </row>
    <row r="5" spans="1:7" x14ac:dyDescent="0.25">
      <c r="B5" t="s">
        <v>20</v>
      </c>
      <c r="C5" t="s">
        <v>16</v>
      </c>
      <c r="D5" s="1">
        <v>0.3</v>
      </c>
      <c r="E5">
        <v>180</v>
      </c>
      <c r="F5" s="3">
        <v>40</v>
      </c>
      <c r="G5" s="3">
        <f t="shared" si="0"/>
        <v>7200</v>
      </c>
    </row>
    <row r="6" spans="1:7" x14ac:dyDescent="0.25">
      <c r="B6" t="s">
        <v>21</v>
      </c>
      <c r="C6" t="s">
        <v>17</v>
      </c>
      <c r="D6" s="1">
        <v>0.1</v>
      </c>
      <c r="E6">
        <v>60</v>
      </c>
      <c r="F6" s="3">
        <v>30</v>
      </c>
      <c r="G6" s="3">
        <f t="shared" si="0"/>
        <v>1800</v>
      </c>
    </row>
    <row r="7" spans="1:7" x14ac:dyDescent="0.25">
      <c r="B7" t="s">
        <v>22</v>
      </c>
      <c r="C7" t="s">
        <v>13</v>
      </c>
      <c r="D7" s="1">
        <v>0.1</v>
      </c>
      <c r="E7">
        <v>60</v>
      </c>
      <c r="F7" s="3">
        <v>30</v>
      </c>
      <c r="G7" s="3">
        <f t="shared" si="0"/>
        <v>1800</v>
      </c>
    </row>
    <row r="8" spans="1:7" x14ac:dyDescent="0.25">
      <c r="B8" t="s">
        <v>28</v>
      </c>
      <c r="C8" t="s">
        <v>29</v>
      </c>
      <c r="D8" s="1">
        <v>0.05</v>
      </c>
      <c r="E8">
        <v>30</v>
      </c>
      <c r="F8" s="3">
        <v>30</v>
      </c>
      <c r="G8" s="3">
        <f t="shared" si="0"/>
        <v>900</v>
      </c>
    </row>
    <row r="9" spans="1:7" x14ac:dyDescent="0.25">
      <c r="B9" t="s">
        <v>10</v>
      </c>
      <c r="E9">
        <f>SUM(E3:E8)</f>
        <v>600</v>
      </c>
      <c r="G9" s="3">
        <f>SUM(G3:G8)</f>
        <v>22500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5007-AAFE-4A13-985B-5D441B51DB77}">
  <dimension ref="B2:H7"/>
  <sheetViews>
    <sheetView workbookViewId="0">
      <selection activeCell="D15" sqref="D15"/>
    </sheetView>
  </sheetViews>
  <sheetFormatPr defaultRowHeight="15" x14ac:dyDescent="0.25"/>
  <cols>
    <col min="2" max="2" width="19.140625" customWidth="1"/>
    <col min="3" max="3" width="13" customWidth="1"/>
    <col min="4" max="4" width="22" customWidth="1"/>
    <col min="5" max="5" width="15.85546875" customWidth="1"/>
    <col min="6" max="6" width="19.5703125" customWidth="1"/>
    <col min="7" max="7" width="10.140625" bestFit="1" customWidth="1"/>
    <col min="8" max="8" width="29.85546875" customWidth="1"/>
  </cols>
  <sheetData>
    <row r="2" spans="2:8" x14ac:dyDescent="0.25">
      <c r="B2" t="s">
        <v>7</v>
      </c>
      <c r="C2" t="s">
        <v>8</v>
      </c>
      <c r="D2" t="s">
        <v>57</v>
      </c>
      <c r="E2" t="s">
        <v>9</v>
      </c>
      <c r="F2" t="s">
        <v>38</v>
      </c>
      <c r="G2" t="s">
        <v>10</v>
      </c>
      <c r="H2" t="s">
        <v>11</v>
      </c>
    </row>
    <row r="3" spans="2:8" x14ac:dyDescent="0.25">
      <c r="B3" t="s">
        <v>23</v>
      </c>
      <c r="C3" t="s">
        <v>24</v>
      </c>
      <c r="D3" t="s">
        <v>30</v>
      </c>
      <c r="E3" t="s">
        <v>37</v>
      </c>
      <c r="F3">
        <v>3</v>
      </c>
      <c r="G3" s="3">
        <v>22500</v>
      </c>
    </row>
    <row r="4" spans="2:8" x14ac:dyDescent="0.25">
      <c r="B4" t="s">
        <v>25</v>
      </c>
      <c r="C4" t="s">
        <v>31</v>
      </c>
      <c r="D4" t="s">
        <v>39</v>
      </c>
      <c r="E4" t="s">
        <v>36</v>
      </c>
      <c r="F4">
        <v>3</v>
      </c>
      <c r="G4" s="3">
        <v>600</v>
      </c>
      <c r="H4" t="s">
        <v>42</v>
      </c>
    </row>
    <row r="5" spans="2:8" x14ac:dyDescent="0.25">
      <c r="B5" t="s">
        <v>26</v>
      </c>
      <c r="C5" t="s">
        <v>32</v>
      </c>
      <c r="D5" t="s">
        <v>34</v>
      </c>
      <c r="E5" s="2">
        <v>500</v>
      </c>
      <c r="F5" t="s">
        <v>40</v>
      </c>
      <c r="G5" s="3">
        <v>500</v>
      </c>
      <c r="H5" t="s">
        <v>41</v>
      </c>
    </row>
    <row r="6" spans="2:8" x14ac:dyDescent="0.25">
      <c r="B6" t="s">
        <v>27</v>
      </c>
      <c r="C6" t="s">
        <v>33</v>
      </c>
      <c r="D6" s="1">
        <v>0.1</v>
      </c>
      <c r="E6" t="s">
        <v>35</v>
      </c>
      <c r="F6" t="s">
        <v>40</v>
      </c>
      <c r="G6" s="3">
        <f>10%*(SUM(G3:G5))</f>
        <v>2360</v>
      </c>
    </row>
    <row r="7" spans="2:8" x14ac:dyDescent="0.25">
      <c r="B7" t="s">
        <v>10</v>
      </c>
      <c r="G7" s="3">
        <f>SUM(G3:G6)</f>
        <v>25960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A9F17-174D-43DA-833D-28EEE438C7FF}">
  <dimension ref="B2:H12"/>
  <sheetViews>
    <sheetView tabSelected="1" workbookViewId="0">
      <selection activeCell="D49" sqref="D49"/>
    </sheetView>
  </sheetViews>
  <sheetFormatPr defaultRowHeight="15" x14ac:dyDescent="0.25"/>
  <cols>
    <col min="2" max="2" width="27.28515625" customWidth="1"/>
    <col min="3" max="3" width="17.5703125" customWidth="1"/>
    <col min="4" max="4" width="21.140625" customWidth="1"/>
    <col min="5" max="5" width="20.5703125" customWidth="1"/>
    <col min="6" max="6" width="16.7109375" customWidth="1"/>
    <col min="8" max="8" width="19.85546875" customWidth="1"/>
  </cols>
  <sheetData>
    <row r="2" spans="2:8" x14ac:dyDescent="0.25">
      <c r="B2" t="s">
        <v>12</v>
      </c>
      <c r="C2" t="s">
        <v>14</v>
      </c>
      <c r="D2" t="s">
        <v>15</v>
      </c>
      <c r="E2" t="s">
        <v>16</v>
      </c>
      <c r="F2" t="s">
        <v>17</v>
      </c>
      <c r="G2" t="s">
        <v>13</v>
      </c>
      <c r="H2" t="s">
        <v>29</v>
      </c>
    </row>
    <row r="3" spans="2:8" x14ac:dyDescent="0.25">
      <c r="B3" t="s">
        <v>43</v>
      </c>
      <c r="C3" t="s">
        <v>55</v>
      </c>
      <c r="D3" t="s">
        <v>53</v>
      </c>
      <c r="E3" t="s">
        <v>54</v>
      </c>
      <c r="F3" t="s">
        <v>56</v>
      </c>
      <c r="G3" t="s">
        <v>56</v>
      </c>
      <c r="H3" t="s">
        <v>54</v>
      </c>
    </row>
    <row r="4" spans="2:8" x14ac:dyDescent="0.25">
      <c r="B4" t="s">
        <v>44</v>
      </c>
      <c r="C4" t="s">
        <v>55</v>
      </c>
      <c r="D4" t="s">
        <v>53</v>
      </c>
      <c r="E4" t="s">
        <v>56</v>
      </c>
      <c r="F4" t="s">
        <v>56</v>
      </c>
      <c r="G4" t="s">
        <v>56</v>
      </c>
      <c r="H4" t="s">
        <v>54</v>
      </c>
    </row>
    <row r="5" spans="2:8" x14ac:dyDescent="0.25">
      <c r="B5" t="s">
        <v>45</v>
      </c>
      <c r="C5" t="s">
        <v>55</v>
      </c>
      <c r="D5" t="s">
        <v>56</v>
      </c>
      <c r="E5" t="s">
        <v>53</v>
      </c>
      <c r="F5" t="s">
        <v>54</v>
      </c>
      <c r="G5" t="s">
        <v>56</v>
      </c>
      <c r="H5" t="s">
        <v>56</v>
      </c>
    </row>
    <row r="6" spans="2:8" x14ac:dyDescent="0.25">
      <c r="B6" t="s">
        <v>46</v>
      </c>
      <c r="C6" t="s">
        <v>55</v>
      </c>
      <c r="D6" t="s">
        <v>53</v>
      </c>
      <c r="E6" t="s">
        <v>56</v>
      </c>
      <c r="F6" t="s">
        <v>56</v>
      </c>
      <c r="G6" t="s">
        <v>56</v>
      </c>
      <c r="H6" t="s">
        <v>54</v>
      </c>
    </row>
    <row r="7" spans="2:8" x14ac:dyDescent="0.25">
      <c r="B7" t="s">
        <v>47</v>
      </c>
      <c r="C7" t="s">
        <v>56</v>
      </c>
      <c r="D7" t="s">
        <v>56</v>
      </c>
      <c r="E7" t="s">
        <v>53</v>
      </c>
      <c r="F7" t="s">
        <v>54</v>
      </c>
      <c r="G7" t="s">
        <v>54</v>
      </c>
      <c r="H7" t="s">
        <v>56</v>
      </c>
    </row>
    <row r="8" spans="2:8" x14ac:dyDescent="0.25">
      <c r="B8" t="s">
        <v>48</v>
      </c>
      <c r="C8" t="s">
        <v>54</v>
      </c>
      <c r="D8" t="s">
        <v>56</v>
      </c>
      <c r="E8" t="s">
        <v>53</v>
      </c>
      <c r="F8" t="s">
        <v>54</v>
      </c>
      <c r="G8" t="s">
        <v>56</v>
      </c>
      <c r="H8" t="s">
        <v>55</v>
      </c>
    </row>
    <row r="9" spans="2:8" x14ac:dyDescent="0.25">
      <c r="B9" t="s">
        <v>49</v>
      </c>
      <c r="C9" t="s">
        <v>54</v>
      </c>
      <c r="D9" t="s">
        <v>56</v>
      </c>
      <c r="E9" t="s">
        <v>53</v>
      </c>
      <c r="F9" t="s">
        <v>54</v>
      </c>
      <c r="G9" t="s">
        <v>56</v>
      </c>
      <c r="H9" t="s">
        <v>55</v>
      </c>
    </row>
    <row r="10" spans="2:8" x14ac:dyDescent="0.25">
      <c r="B10" t="s">
        <v>50</v>
      </c>
      <c r="C10" t="s">
        <v>54</v>
      </c>
      <c r="D10" t="s">
        <v>56</v>
      </c>
      <c r="E10" t="s">
        <v>53</v>
      </c>
      <c r="F10" t="s">
        <v>54</v>
      </c>
      <c r="G10" t="s">
        <v>56</v>
      </c>
      <c r="H10" t="s">
        <v>55</v>
      </c>
    </row>
    <row r="11" spans="2:8" x14ac:dyDescent="0.25">
      <c r="B11" t="s">
        <v>51</v>
      </c>
      <c r="C11" t="s">
        <v>53</v>
      </c>
      <c r="D11" t="s">
        <v>56</v>
      </c>
      <c r="E11" t="s">
        <v>56</v>
      </c>
      <c r="F11" t="s">
        <v>54</v>
      </c>
      <c r="G11" t="s">
        <v>56</v>
      </c>
      <c r="H11" t="s">
        <v>54</v>
      </c>
    </row>
    <row r="12" spans="2:8" x14ac:dyDescent="0.25">
      <c r="B12" t="s">
        <v>52</v>
      </c>
      <c r="C12" t="s">
        <v>55</v>
      </c>
      <c r="D12" t="s">
        <v>53</v>
      </c>
      <c r="E12" t="s">
        <v>53</v>
      </c>
      <c r="F12" t="s">
        <v>54</v>
      </c>
      <c r="G12" t="s">
        <v>56</v>
      </c>
      <c r="H12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Roles and Responsibilities</vt:lpstr>
      <vt:lpstr>Resources and Costs Plan</vt:lpstr>
      <vt:lpstr>RACI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William M</dc:creator>
  <cp:lastModifiedBy>Le, William M</cp:lastModifiedBy>
  <dcterms:created xsi:type="dcterms:W3CDTF">2025-10-10T03:13:11Z</dcterms:created>
  <dcterms:modified xsi:type="dcterms:W3CDTF">2025-10-10T04:46:49Z</dcterms:modified>
</cp:coreProperties>
</file>